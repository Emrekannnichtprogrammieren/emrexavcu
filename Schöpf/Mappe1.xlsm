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avcu4\OneDrive\Desktop\4te Klasse\SWP\Schöpf\"/>
    </mc:Choice>
  </mc:AlternateContent>
  <xr:revisionPtr revIDLastSave="0" documentId="8_{3DC8F47E-AF37-4AD5-AF03-DBD67D244C95}" xr6:coauthVersionLast="45" xr6:coauthVersionMax="45" xr10:uidLastSave="{00000000-0000-0000-0000-000000000000}"/>
  <bookViews>
    <workbookView xWindow="-108" yWindow="-108" windowWidth="23256" windowHeight="12576" activeTab="3" xr2:uid="{2BED21B1-4A1E-4C5B-8B79-AAEE207B381A}"/>
  </bookViews>
  <sheets>
    <sheet name="Tabelle1" sheetId="1" r:id="rId1"/>
    <sheet name="Tabelle2" sheetId="2" r:id="rId2"/>
    <sheet name="Tabelle3" sheetId="3" r:id="rId3"/>
    <sheet name="Tabelle4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4" l="1"/>
  <c r="A3" i="2"/>
  <c r="B3" i="2" s="1"/>
  <c r="A4" i="2"/>
  <c r="B4" i="2" s="1"/>
  <c r="A5" i="2"/>
  <c r="B5" i="2" s="1"/>
  <c r="A6" i="2"/>
  <c r="B6" i="2" s="1"/>
  <c r="A7" i="2"/>
  <c r="B7" i="2" s="1"/>
  <c r="A8" i="2"/>
  <c r="B8" i="2" s="1"/>
  <c r="A9" i="2"/>
  <c r="B9" i="2" s="1"/>
  <c r="A2" i="2"/>
  <c r="B2" i="2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C2" i="2" l="1"/>
  <c r="C3" i="2"/>
  <c r="C9" i="2"/>
  <c r="C8" i="2"/>
  <c r="C6" i="2"/>
  <c r="C5" i="2"/>
  <c r="C7" i="2"/>
  <c r="C4" i="2"/>
  <c r="C10" i="2" l="1"/>
</calcChain>
</file>

<file path=xl/sharedStrings.xml><?xml version="1.0" encoding="utf-8"?>
<sst xmlns="http://schemas.openxmlformats.org/spreadsheetml/2006/main" count="15" uniqueCount="15">
  <si>
    <t>Einzahlung</t>
  </si>
  <si>
    <t>Zinsen</t>
  </si>
  <si>
    <t>Endbetrag</t>
  </si>
  <si>
    <t>Zinssatz</t>
  </si>
  <si>
    <t>lesgo</t>
  </si>
  <si>
    <t>Berechne die Gehälter von Mitarbeitern</t>
  </si>
  <si>
    <t>Mitarbeiter sind entweder MA1,MA2</t>
  </si>
  <si>
    <t>MA1</t>
  </si>
  <si>
    <t>MA2</t>
  </si>
  <si>
    <t>Arb1</t>
  </si>
  <si>
    <t>Arb2</t>
  </si>
  <si>
    <t>Chef</t>
  </si>
  <si>
    <t>KLASSE</t>
  </si>
  <si>
    <t>JE STUNDE</t>
  </si>
  <si>
    <t>Arb3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</si>
</sst>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E1197-CC53-4265-87D9-7A00C666E1DF}">
  <sheetPr codeName="Tabelle1"/>
  <dimension ref="A2:A18"/>
  <sheetViews>
    <sheetView workbookViewId="0">
      <selection activeCell="D11" sqref="D11"/>
    </sheetView>
  </sheetViews>
  <sheetFormatPr baseColWidth="10" defaultRowHeight="14.4" x14ac:dyDescent="0.3"/>
  <sheetData>
    <row r="2" spans="1:1" x14ac:dyDescent="0.3">
      <c r="A2">
        <v>5</v>
      </c>
    </row>
    <row r="3" spans="1:1" x14ac:dyDescent="0.3">
      <c r="A3">
        <f>A2*2</f>
        <v>10</v>
      </c>
    </row>
    <row r="4" spans="1:1" x14ac:dyDescent="0.3">
      <c r="A4">
        <f>A3*3</f>
        <v>30</v>
      </c>
    </row>
    <row r="5" spans="1:1" x14ac:dyDescent="0.3">
      <c r="A5">
        <f>4*A4</f>
        <v>120</v>
      </c>
    </row>
    <row r="6" spans="1:1" x14ac:dyDescent="0.3">
      <c r="A6">
        <f>5*A5</f>
        <v>600</v>
      </c>
    </row>
    <row r="7" spans="1:1" x14ac:dyDescent="0.3">
      <c r="A7">
        <f>6*A6</f>
        <v>3600</v>
      </c>
    </row>
    <row r="8" spans="1:1" x14ac:dyDescent="0.3">
      <c r="A8">
        <f>7*A7</f>
        <v>25200</v>
      </c>
    </row>
    <row r="9" spans="1:1" x14ac:dyDescent="0.3">
      <c r="A9">
        <f>8*A8</f>
        <v>201600</v>
      </c>
    </row>
    <row r="10" spans="1:1" x14ac:dyDescent="0.3">
      <c r="A10">
        <f>A9*9</f>
        <v>1814400</v>
      </c>
    </row>
    <row r="11" spans="1:1" x14ac:dyDescent="0.3">
      <c r="A11">
        <f>A10/2</f>
        <v>907200</v>
      </c>
    </row>
    <row r="12" spans="1:1" x14ac:dyDescent="0.3">
      <c r="A12">
        <f>A11/3</f>
        <v>302400</v>
      </c>
    </row>
    <row r="13" spans="1:1" x14ac:dyDescent="0.3">
      <c r="A13">
        <f>A12/4</f>
        <v>75600</v>
      </c>
    </row>
    <row r="14" spans="1:1" x14ac:dyDescent="0.3">
      <c r="A14">
        <f>A13/5</f>
        <v>15120</v>
      </c>
    </row>
    <row r="15" spans="1:1" x14ac:dyDescent="0.3">
      <c r="A15">
        <f>A14/6</f>
        <v>2520</v>
      </c>
    </row>
    <row r="16" spans="1:1" x14ac:dyDescent="0.3">
      <c r="A16">
        <f>A15/7</f>
        <v>360</v>
      </c>
    </row>
    <row r="17" spans="1:1" x14ac:dyDescent="0.3">
      <c r="A17">
        <f>A16/8</f>
        <v>45</v>
      </c>
    </row>
    <row r="18" spans="1:1" x14ac:dyDescent="0.3">
      <c r="A18">
        <f>A17/9</f>
        <v>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62EB3-D186-4E41-8EC5-E679CB0B2045}">
  <sheetPr codeName="Tabelle2"/>
  <dimension ref="A1:O17"/>
  <sheetViews>
    <sheetView workbookViewId="0">
      <selection activeCell="D20" sqref="D20"/>
    </sheetView>
  </sheetViews>
  <sheetFormatPr baseColWidth="10" defaultRowHeight="14.4" x14ac:dyDescent="0.3"/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>
        <f ca="1">(INT((RAND()*10000)))</f>
        <v>5338</v>
      </c>
      <c r="B2">
        <f ca="1">A2*$D$2</f>
        <v>213.52</v>
      </c>
      <c r="C2">
        <f ca="1">A2+B2</f>
        <v>5551.52</v>
      </c>
      <c r="D2" s="1">
        <v>0.04</v>
      </c>
    </row>
    <row r="3" spans="1:4" x14ac:dyDescent="0.3">
      <c r="A3">
        <f t="shared" ref="A3:A9" ca="1" si="0">(INT((RAND()*10000)))</f>
        <v>3881</v>
      </c>
      <c r="B3">
        <f t="shared" ref="B3:B9" ca="1" si="1">A3*$D$2</f>
        <v>155.24</v>
      </c>
      <c r="C3">
        <f t="shared" ref="C3:C9" ca="1" si="2">A3+B3</f>
        <v>4036.24</v>
      </c>
    </row>
    <row r="4" spans="1:4" x14ac:dyDescent="0.3">
      <c r="A4">
        <f t="shared" ca="1" si="0"/>
        <v>1883</v>
      </c>
      <c r="B4">
        <f t="shared" ca="1" si="1"/>
        <v>75.320000000000007</v>
      </c>
      <c r="C4">
        <f t="shared" ca="1" si="2"/>
        <v>1958.32</v>
      </c>
    </row>
    <row r="5" spans="1:4" x14ac:dyDescent="0.3">
      <c r="A5">
        <f t="shared" ca="1" si="0"/>
        <v>6312</v>
      </c>
      <c r="B5">
        <f t="shared" ca="1" si="1"/>
        <v>252.48000000000002</v>
      </c>
      <c r="C5">
        <f t="shared" ca="1" si="2"/>
        <v>6564.48</v>
      </c>
    </row>
    <row r="6" spans="1:4" x14ac:dyDescent="0.3">
      <c r="A6">
        <f t="shared" ca="1" si="0"/>
        <v>5030</v>
      </c>
      <c r="B6">
        <f t="shared" ca="1" si="1"/>
        <v>201.20000000000002</v>
      </c>
      <c r="C6">
        <f t="shared" ca="1" si="2"/>
        <v>5231.2</v>
      </c>
    </row>
    <row r="7" spans="1:4" x14ac:dyDescent="0.3">
      <c r="A7">
        <f t="shared" ca="1" si="0"/>
        <v>9624</v>
      </c>
      <c r="B7">
        <f t="shared" ca="1" si="1"/>
        <v>384.96000000000004</v>
      </c>
      <c r="C7">
        <f t="shared" ca="1" si="2"/>
        <v>10008.959999999999</v>
      </c>
    </row>
    <row r="8" spans="1:4" x14ac:dyDescent="0.3">
      <c r="A8">
        <f t="shared" ca="1" si="0"/>
        <v>1648</v>
      </c>
      <c r="B8">
        <f t="shared" ca="1" si="1"/>
        <v>65.92</v>
      </c>
      <c r="C8">
        <f t="shared" ca="1" si="2"/>
        <v>1713.92</v>
      </c>
    </row>
    <row r="9" spans="1:4" x14ac:dyDescent="0.3">
      <c r="A9">
        <f t="shared" ca="1" si="0"/>
        <v>2537</v>
      </c>
      <c r="B9">
        <f t="shared" ca="1" si="1"/>
        <v>101.48</v>
      </c>
      <c r="C9">
        <f t="shared" ca="1" si="2"/>
        <v>2638.48</v>
      </c>
    </row>
    <row r="10" spans="1:4" x14ac:dyDescent="0.3">
      <c r="C10">
        <f ca="1">SUM(C2:C9)</f>
        <v>37703.120000000003</v>
      </c>
    </row>
    <row r="17" spans="15:15" x14ac:dyDescent="0.3">
      <c r="O17" t="s">
        <v>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4F06B-96B4-406E-BA56-1A90625C37F9}">
  <dimension ref="A1:A2"/>
  <sheetViews>
    <sheetView workbookViewId="0">
      <selection activeCell="E18" sqref="E18"/>
    </sheetView>
  </sheetViews>
  <sheetFormatPr baseColWidth="10" defaultRowHeight="14.4" x14ac:dyDescent="0.3"/>
  <sheetData>
    <row r="1" spans="1:1" x14ac:dyDescent="0.3">
      <c r="A1" t="s">
        <v>5</v>
      </c>
    </row>
    <row r="2" spans="1:1" x14ac:dyDescent="0.3">
      <c r="A2" t="s">
        <v>6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A8846-AE39-4A63-9B22-E7B3F5CA04AE}">
  <dimension ref="A1:D6"/>
  <sheetViews>
    <sheetView tabSelected="1" workbookViewId="0">
      <selection activeCell="E3" sqref="E3"/>
    </sheetView>
  </sheetViews>
  <sheetFormatPr baseColWidth="10" defaultRowHeight="14.4" x14ac:dyDescent="0.3"/>
  <sheetData>
    <row r="1" spans="1:4" x14ac:dyDescent="0.3">
      <c r="A1" t="s">
        <v>12</v>
      </c>
      <c r="B1" t="s">
        <v>13</v>
      </c>
      <c r="D1" t="s">
        <v>11</v>
      </c>
    </row>
    <row r="2" spans="1:4" x14ac:dyDescent="0.3">
      <c r="A2" t="s">
        <v>7</v>
      </c>
      <c r="B2">
        <v>30</v>
      </c>
      <c r="D2">
        <f>MAX(B:B)*1.3</f>
        <v>78</v>
      </c>
    </row>
    <row r="3" spans="1:4" x14ac:dyDescent="0.3">
      <c r="A3" t="s">
        <v>8</v>
      </c>
      <c r="B3">
        <v>20</v>
      </c>
    </row>
    <row r="4" spans="1:4" x14ac:dyDescent="0.3">
      <c r="A4" t="s">
        <v>9</v>
      </c>
      <c r="B4">
        <v>18</v>
      </c>
    </row>
    <row r="5" spans="1:4" x14ac:dyDescent="0.3">
      <c r="A5" t="s">
        <v>10</v>
      </c>
      <c r="B5">
        <v>15</v>
      </c>
    </row>
    <row r="6" spans="1:4" x14ac:dyDescent="0.3">
      <c r="A6" t="s">
        <v>14</v>
      </c>
      <c r="B6">
        <v>60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Tabelle1</vt:lpstr>
      <vt:lpstr>Tabelle2</vt:lpstr>
      <vt:lpstr>Tabelle3</vt:lpstr>
      <vt:lpstr>Tabelle4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avcu4</dc:creator>
  <cp:lastModifiedBy>avcu4</cp:lastModifiedBy>
  <dcterms:created xsi:type="dcterms:W3CDTF">2019-12-18T07:08:55Z</dcterms:created>
  <dcterms:modified xsi:type="dcterms:W3CDTF">2019-12-18T09:17:27Z</dcterms:modified>
</cp:coreProperties>
</file>